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생산팀 - 김성곤\Desktop\AI혁신활동\AI기반 재작업 통합 관리 대시보드\"/>
    </mc:Choice>
  </mc:AlternateContent>
  <xr:revisionPtr revIDLastSave="0" documentId="13_ncr:1_{845A66F8-CD7E-42DA-8C42-1F6E00A1190A}" xr6:coauthVersionLast="47" xr6:coauthVersionMax="47" xr10:uidLastSave="{00000000-0000-0000-0000-000000000000}"/>
  <bookViews>
    <workbookView xWindow="28680" yWindow="-135" windowWidth="29040" windowHeight="16440" xr2:uid="{58E0ABB7-E03B-4EA3-895C-1A42572CFEC6}"/>
  </bookViews>
  <sheets>
    <sheet name="Sheet1" sheetId="1" r:id="rId1"/>
  </sheets>
  <definedNames>
    <definedName name="_xlnm._FilterDatabase" localSheetId="0" hidden="1">Sheet1!$A$11:$P$28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B34" i="1"/>
  <c r="B33" i="1"/>
  <c r="B44" i="1"/>
  <c r="C44" i="1"/>
  <c r="D44" i="1"/>
  <c r="B45" i="1"/>
  <c r="C45" i="1"/>
  <c r="D45" i="1"/>
  <c r="B46" i="1"/>
  <c r="C46" i="1"/>
  <c r="D46" i="1"/>
  <c r="B47" i="1"/>
  <c r="C47" i="1"/>
  <c r="D47" i="1"/>
  <c r="A47" i="1"/>
  <c r="A46" i="1"/>
  <c r="A45" i="1"/>
  <c r="A44" i="1"/>
  <c r="B38" i="1"/>
  <c r="C38" i="1"/>
  <c r="D38" i="1"/>
  <c r="B39" i="1"/>
  <c r="C39" i="1"/>
  <c r="D39" i="1"/>
  <c r="B40" i="1"/>
  <c r="C40" i="1"/>
  <c r="D40" i="1"/>
  <c r="A40" i="1"/>
  <c r="A39" i="1"/>
  <c r="A38" i="1"/>
  <c r="F47" i="1"/>
  <c r="F46" i="1"/>
  <c r="F45" i="1"/>
  <c r="F44" i="1"/>
  <c r="F40" i="1"/>
  <c r="F39" i="1"/>
  <c r="F38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12" i="1"/>
</calcChain>
</file>

<file path=xl/sharedStrings.xml><?xml version="1.0" encoding="utf-8"?>
<sst xmlns="http://schemas.openxmlformats.org/spreadsheetml/2006/main" count="167" uniqueCount="95">
  <si>
    <t>소요자재</t>
  </si>
  <si>
    <t>소요자재명</t>
  </si>
  <si>
    <t>소요자재규격</t>
  </si>
  <si>
    <t>단위수량</t>
  </si>
  <si>
    <t>PWT0-0009B</t>
  </si>
  <si>
    <t>POWER ATX</t>
  </si>
  <si>
    <t>500W, ZALMAN, ZM500-ET Plus, 220V, 라벨사양변경</t>
  </si>
  <si>
    <t>RONP-0001A</t>
  </si>
  <si>
    <t>Windows 11 Pro</t>
  </si>
  <si>
    <t>BXTO-0009A</t>
  </si>
  <si>
    <t>BOX, TOWER_Pulpmold</t>
  </si>
  <si>
    <t>골판지 KLB225.UK.KLB225(A), 12세대 TOWER PC, 펄프몰드용, 1도 인쇄, 하단 날개만 사선 적용,에너지절약마크 삭제, Logo 변경 24년 11월</t>
  </si>
  <si>
    <t>CP10-002AA</t>
  </si>
  <si>
    <t>COOLER CPU LGA1700, STFLEX, YM2401</t>
  </si>
  <si>
    <t>STFLEX, LGA1 700, Heat Sink 35mm, 2400RPM, ∅ 95* 25MM, Cable 200mm</t>
  </si>
  <si>
    <t>PPACRETC0091B</t>
  </si>
  <si>
    <t>PACKING, CUSHION TOWER_펄프몰드</t>
  </si>
  <si>
    <t>Tower PC 펄프몰드</t>
  </si>
  <si>
    <t>PSTA-000DA</t>
  </si>
  <si>
    <t>CASE Tower_V2_24 New LOGO_Right Angle Type</t>
  </si>
  <si>
    <t>Tower PC, 4PORT, NEW CI, Logo 변경 24년 11월, Side Cover 로고 제거, USB 3.0 몰드 직각 Type</t>
  </si>
  <si>
    <t>PSTO-0003B</t>
  </si>
  <si>
    <t>TOWER ODD COVER</t>
  </si>
  <si>
    <t>ABS, BLACK, A2T, TOWER CASE, 스프링 가이드 보강</t>
  </si>
  <si>
    <t>MBA0-000AA</t>
  </si>
  <si>
    <t>MAIN BOARD, Micro-ATX_H610_GIGABYTE</t>
  </si>
  <si>
    <t>GIGABYTE, H610M HD3P, H610M, Rev. 2.0, 12th, 13th 공용</t>
  </si>
  <si>
    <t>MSU0-0005A</t>
  </si>
  <si>
    <t>MOUSE USB_2024 New LOGO</t>
  </si>
  <si>
    <t>이썬테크, HM01, Black, 1200DPI, CI 변경(한글 확대), Logo 변경 24년 11월</t>
  </si>
  <si>
    <t>ODO0-0005A</t>
  </si>
  <si>
    <t>ODD DVD-ROM STD DH70N</t>
  </si>
  <si>
    <t>HLDS, GH70N, Tower, ROM F/W 적용</t>
  </si>
  <si>
    <t>DRU0-0012A</t>
  </si>
  <si>
    <t>Memory U-DIMM_DDR5_16GB</t>
  </si>
  <si>
    <t>SAMSUNG, M323R2GA3PB0, 16GB, 5600MHz, DDR5_P-DIE, D-DIE 공용</t>
  </si>
  <si>
    <t>KBU0-0006A</t>
  </si>
  <si>
    <t>KEYBOARD USB_2024 New LOGO_Copliot Key</t>
  </si>
  <si>
    <t>이썬테크, K45A, Black, SX83089 IC 적용, 스페이스바, 엔터키 구리스 적용, Logo 변경 24년 11월, Copliot Key 추가</t>
  </si>
  <si>
    <t>PCBLRPOW0399A</t>
  </si>
  <si>
    <t>Cable POWER CORD</t>
  </si>
  <si>
    <t>신성전기파워코드, 10A, 250V, 1.5M</t>
  </si>
  <si>
    <t>CP10-0021A</t>
  </si>
  <si>
    <t>CPU_i5-13500</t>
  </si>
  <si>
    <t>intel®, i5-13500, 13th, 2.50GHz, 24MB</t>
  </si>
  <si>
    <t>LBG0-0002A</t>
  </si>
  <si>
    <t>STICKER, GML</t>
  </si>
  <si>
    <t>MS Windows 11 통합 GML</t>
  </si>
  <si>
    <t>ACP0-0004A</t>
  </si>
  <si>
    <t>MOUSE PAD_2025 New PAD</t>
  </si>
  <si>
    <t>NINGBO WANGFAXIANGJIAO ZHIPINCHANG, Rubber, 260x210x2, 신규 Logo 적용(영문+한글, 중앙 하단)</t>
  </si>
  <si>
    <t>SENM-0014A</t>
  </si>
  <si>
    <t>STORAGE, SSD_M.2_PM9A1_512GB_Samsung</t>
  </si>
  <si>
    <t>PM9A1,TLC, 512GB, Samsung, 컨트롤러: Samsung Elpis, 인터페이스: PCIe 4.0 x4 (NVMe 1.3), 폼팩터: M.2 22X80mm</t>
  </si>
  <si>
    <r>
      <t xml:space="preserve">완제품 </t>
    </r>
    <r>
      <rPr>
        <sz val="10"/>
        <color rgb="FFFF0000"/>
        <rFont val="맑은 고딕"/>
        <family val="3"/>
        <charset val="129"/>
      </rPr>
      <t>4대</t>
    </r>
    <r>
      <rPr>
        <sz val="10"/>
        <color rgb="FF000000"/>
        <rFont val="맑은 고딕"/>
        <family val="3"/>
        <charset val="129"/>
      </rPr>
      <t xml:space="preserve"> 2026-09-11 A3TC-5NBDN-AH005(재작업 대상품) 해병대교육훈련단M </t>
    </r>
    <r>
      <rPr>
        <sz val="10"/>
        <color rgb="FFFF0000"/>
        <rFont val="맑은 고딕"/>
        <family val="3"/>
        <charset val="129"/>
      </rPr>
      <t>4대</t>
    </r>
    <phoneticPr fontId="3" type="noConversion"/>
  </si>
  <si>
    <t>CP10-002DA</t>
  </si>
  <si>
    <t>CPU_i5-14400</t>
  </si>
  <si>
    <t>intel, i5-14400, 14th, 2.5/4.7 GHz, 20 MB</t>
  </si>
  <si>
    <t>PWT0-000CA</t>
  </si>
  <si>
    <t>SMPS, ATX_FSP_500W</t>
  </si>
  <si>
    <t>500W,FSP,FSP-500-51AAC,200-240V,50-60Hz. Tower PC 적용(ATX)</t>
  </si>
  <si>
    <t>SENM-0016A</t>
  </si>
  <si>
    <t>STORAGE, SSD_M.2_PM9E1_512GB_Samsung</t>
  </si>
  <si>
    <t>PM9E1,TLC, 512GB, Samsung, 컨트롤러: Samsung Presto, 인터페이스: PCIe 5.0 x4 (NVMe 1.3), 폼팩터: M.2 22X80mm</t>
  </si>
  <si>
    <r>
      <t>2026-09-11 A4TC-4NBDN-AH000(</t>
    </r>
    <r>
      <rPr>
        <sz val="10"/>
        <color rgb="FF000000"/>
        <rFont val="맑은 고딕"/>
        <family val="3"/>
        <charset val="129"/>
      </rPr>
      <t xml:space="preserve">재작업 완료품) 강남구청 </t>
    </r>
    <r>
      <rPr>
        <sz val="10"/>
        <color rgb="FFFF0000"/>
        <rFont val="맑은 고딕"/>
        <family val="3"/>
        <charset val="129"/>
      </rPr>
      <t>4대</t>
    </r>
    <phoneticPr fontId="3" type="noConversion"/>
  </si>
  <si>
    <t>출고</t>
    <phoneticPr fontId="3" type="noConversion"/>
  </si>
  <si>
    <t>입고</t>
    <phoneticPr fontId="3" type="noConversion"/>
  </si>
  <si>
    <r>
      <t xml:space="preserve">A3TC-5NBDN-AH005 </t>
    </r>
    <r>
      <rPr>
        <sz val="10"/>
        <color rgb="FF000000"/>
        <rFont val="Segoe UI Symbol"/>
        <family val="2"/>
      </rPr>
      <t>▶</t>
    </r>
    <r>
      <rPr>
        <sz val="10"/>
        <color rgb="FF000000"/>
        <rFont val="맑은 고딕"/>
        <family val="3"/>
        <charset val="129"/>
      </rPr>
      <t xml:space="preserve"> </t>
    </r>
    <r>
      <rPr>
        <sz val="10"/>
        <color indexed="8"/>
        <rFont val="Arial"/>
        <charset val="1"/>
      </rPr>
      <t xml:space="preserve">A4TC-4NBDN-AH000 </t>
    </r>
    <r>
      <rPr>
        <sz val="10"/>
        <color rgb="FF000000"/>
        <rFont val="맑은 고딕"/>
        <family val="3"/>
        <charset val="129"/>
      </rPr>
      <t xml:space="preserve">강남구청 재작업건 </t>
    </r>
    <r>
      <rPr>
        <sz val="10"/>
        <color rgb="FFFF0000"/>
        <rFont val="맑은 고딕"/>
        <family val="3"/>
        <charset val="129"/>
      </rPr>
      <t>4대</t>
    </r>
    <r>
      <rPr>
        <sz val="10"/>
        <color rgb="FF000000"/>
        <rFont val="맑은 고딕"/>
        <family val="3"/>
        <charset val="129"/>
      </rPr>
      <t xml:space="preserve"> 09/11</t>
    </r>
    <phoneticPr fontId="3" type="noConversion"/>
  </si>
  <si>
    <t>환원</t>
    <phoneticPr fontId="3" type="noConversion"/>
  </si>
  <si>
    <t>계정대체입고</t>
    <phoneticPr fontId="3" type="noConversion"/>
  </si>
  <si>
    <t>수도권영업팀</t>
    <phoneticPr fontId="3" type="noConversion"/>
  </si>
  <si>
    <t>이성훈</t>
    <phoneticPr fontId="3" type="noConversion"/>
  </si>
  <si>
    <t>재작업 전 모델 BOM</t>
    <phoneticPr fontId="3" type="noConversion"/>
  </si>
  <si>
    <t>재작업 후 모델 BOM</t>
    <phoneticPr fontId="3" type="noConversion"/>
  </si>
  <si>
    <t>모델명</t>
    <phoneticPr fontId="3" type="noConversion"/>
  </si>
  <si>
    <t>계정처리여부</t>
    <phoneticPr fontId="3" type="noConversion"/>
  </si>
  <si>
    <t>비고</t>
    <phoneticPr fontId="3" type="noConversion"/>
  </si>
  <si>
    <r>
      <t xml:space="preserve">A3TC-5NBDN-AH005 </t>
    </r>
    <r>
      <rPr>
        <sz val="10"/>
        <color rgb="FF000000"/>
        <rFont val="Segoe UI Symbol"/>
        <family val="2"/>
      </rPr>
      <t>▶</t>
    </r>
    <r>
      <rPr>
        <sz val="10"/>
        <color rgb="FF000000"/>
        <rFont val="Arial"/>
        <family val="3"/>
      </rPr>
      <t xml:space="preserve"> </t>
    </r>
    <r>
      <rPr>
        <sz val="10"/>
        <color indexed="8"/>
        <rFont val="Arial"/>
        <charset val="1"/>
      </rPr>
      <t xml:space="preserve">A4TC-4NBDN-AH000 </t>
    </r>
    <r>
      <rPr>
        <sz val="10"/>
        <color rgb="FF000000"/>
        <rFont val="맑은 고딕"/>
        <family val="3"/>
        <charset val="129"/>
      </rPr>
      <t>강남구청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재작업건</t>
    </r>
    <r>
      <rPr>
        <sz val="10"/>
        <color rgb="FF000000"/>
        <rFont val="Arial"/>
        <family val="3"/>
      </rPr>
      <t xml:space="preserve"> </t>
    </r>
    <r>
      <rPr>
        <sz val="10"/>
        <color rgb="FFFF0000"/>
        <rFont val="Arial"/>
        <family val="3"/>
      </rPr>
      <t>4</t>
    </r>
    <r>
      <rPr>
        <sz val="10"/>
        <color rgb="FFFF0000"/>
        <rFont val="맑은 고딕"/>
        <family val="3"/>
        <charset val="129"/>
      </rPr>
      <t>대</t>
    </r>
    <r>
      <rPr>
        <sz val="10"/>
        <color rgb="FF000000"/>
        <rFont val="Arial"/>
        <family val="3"/>
      </rPr>
      <t xml:space="preserve"> 09/11</t>
    </r>
    <phoneticPr fontId="3" type="noConversion"/>
  </si>
  <si>
    <t>재작업일</t>
    <phoneticPr fontId="3" type="noConversion"/>
  </si>
  <si>
    <t>대상</t>
    <phoneticPr fontId="3" type="noConversion"/>
  </si>
  <si>
    <t>수량</t>
    <phoneticPr fontId="3" type="noConversion"/>
  </si>
  <si>
    <t>구분</t>
    <phoneticPr fontId="3" type="noConversion"/>
  </si>
  <si>
    <t>SITE</t>
    <phoneticPr fontId="3" type="noConversion"/>
  </si>
  <si>
    <t>비용청구</t>
    <phoneticPr fontId="3" type="noConversion"/>
  </si>
  <si>
    <t>출력 사항</t>
    <phoneticPr fontId="3" type="noConversion"/>
  </si>
  <si>
    <r>
      <t xml:space="preserve"> </t>
    </r>
    <r>
      <rPr>
        <sz val="10"/>
        <color rgb="FF000000"/>
        <rFont val="Segoe UI Symbol"/>
        <family val="2"/>
      </rPr>
      <t>▶</t>
    </r>
    <phoneticPr fontId="3" type="noConversion"/>
  </si>
  <si>
    <t xml:space="preserve"> 강남구청</t>
    <phoneticPr fontId="3" type="noConversion"/>
  </si>
  <si>
    <t xml:space="preserve"> 재작업건</t>
    <phoneticPr fontId="3" type="noConversion"/>
  </si>
  <si>
    <r>
      <t xml:space="preserve"> 4</t>
    </r>
    <r>
      <rPr>
        <sz val="10"/>
        <color rgb="FF000000"/>
        <rFont val="맑은 고딕"/>
        <family val="3"/>
        <charset val="129"/>
      </rPr>
      <t>대</t>
    </r>
    <phoneticPr fontId="3" type="noConversion"/>
  </si>
  <si>
    <t xml:space="preserve"> 완제품</t>
    <phoneticPr fontId="3" type="noConversion"/>
  </si>
  <si>
    <r>
      <rPr>
        <sz val="10"/>
        <color rgb="FF000000"/>
        <rFont val="맑은 고딕"/>
        <family val="3"/>
        <charset val="129"/>
      </rPr>
      <t xml:space="preserve"> 재작업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완료품</t>
    </r>
    <r>
      <rPr>
        <sz val="10"/>
        <color indexed="8"/>
        <rFont val="Arial"/>
        <family val="3"/>
        <charset val="129"/>
      </rPr>
      <t>(</t>
    </r>
    <r>
      <rPr>
        <sz val="10"/>
        <color rgb="FF000000"/>
        <rFont val="맑은 고딕"/>
        <family val="3"/>
        <charset val="129"/>
      </rPr>
      <t>재작업</t>
    </r>
    <r>
      <rPr>
        <sz val="10"/>
        <color indexed="8"/>
        <rFont val="Arial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indexed="8"/>
        <rFont val="Arial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모델</t>
    </r>
    <r>
      <rPr>
        <sz val="10"/>
        <color indexed="8"/>
        <rFont val="Arial"/>
        <family val="3"/>
        <charset val="129"/>
      </rPr>
      <t>)</t>
    </r>
    <phoneticPr fontId="3" type="noConversion"/>
  </si>
  <si>
    <t xml:space="preserve"> A4TC-4NBDN-AH000</t>
    <phoneticPr fontId="3" type="noConversion"/>
  </si>
  <si>
    <t xml:space="preserve"> A3TC-5NBDN-AH005</t>
    <phoneticPr fontId="3" type="noConversion"/>
  </si>
  <si>
    <r>
      <rPr>
        <sz val="10"/>
        <color rgb="FF000000"/>
        <rFont val="맑은 고딕"/>
        <family val="3"/>
        <charset val="129"/>
      </rPr>
      <t xml:space="preserve"> 재작업</t>
    </r>
    <r>
      <rPr>
        <sz val="10"/>
        <color indexed="8"/>
        <rFont val="Arial"/>
        <charset val="1"/>
      </rPr>
      <t xml:space="preserve"> </t>
    </r>
    <r>
      <rPr>
        <sz val="10"/>
        <color rgb="FF000000"/>
        <rFont val="맑은 고딕"/>
        <family val="3"/>
        <charset val="129"/>
      </rPr>
      <t>대상품</t>
    </r>
    <r>
      <rPr>
        <sz val="10"/>
        <color indexed="8"/>
        <rFont val="Arial"/>
        <family val="3"/>
        <charset val="129"/>
      </rPr>
      <t>(</t>
    </r>
    <r>
      <rPr>
        <sz val="10"/>
        <color rgb="FF000000"/>
        <rFont val="맑은 고딕"/>
        <family val="3"/>
        <charset val="129"/>
      </rPr>
      <t>재작업</t>
    </r>
    <r>
      <rPr>
        <sz val="10"/>
        <color indexed="8"/>
        <rFont val="Arial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전</t>
    </r>
    <r>
      <rPr>
        <sz val="10"/>
        <color indexed="8"/>
        <rFont val="Arial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모델</t>
    </r>
    <r>
      <rPr>
        <sz val="10"/>
        <color indexed="8"/>
        <rFont val="Arial"/>
        <family val="3"/>
        <charset val="129"/>
      </rPr>
      <t>)</t>
    </r>
    <phoneticPr fontId="3" type="noConversion"/>
  </si>
  <si>
    <t xml:space="preserve"> 해병대교육훈련단M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</si>
</sst>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#"/>
    <numFmt numFmtId="177" formatCode="0_);[Red]\(0\)"/>
  </numFmts>
  <fonts count="16" x14ac:knownFonts="1">
    <font>
      <sz val="10"/>
      <color indexed="8"/>
      <name val="Arial"/>
      <charset val="1"/>
    </font>
    <font>
      <sz val="9"/>
      <color indexed="9"/>
      <name val="굴림체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indexed="8"/>
      <name val="Arial"/>
      <family val="2"/>
    </font>
    <font>
      <sz val="10"/>
      <color rgb="FF000000"/>
      <name val="Segoe UI Symbol"/>
      <family val="2"/>
    </font>
    <font>
      <sz val="10"/>
      <color theme="0"/>
      <name val="Arial"/>
      <family val="2"/>
    </font>
    <font>
      <sz val="10"/>
      <color theme="0"/>
      <name val="맑은 고딕"/>
      <family val="3"/>
      <charset val="129"/>
    </font>
    <font>
      <sz val="10"/>
      <color rgb="FF000000"/>
      <name val="Arial"/>
      <family val="3"/>
    </font>
    <font>
      <sz val="10"/>
      <color rgb="FFFF0000"/>
      <name val="Arial"/>
      <family val="3"/>
    </font>
    <font>
      <sz val="10"/>
      <color rgb="FF000000"/>
      <name val="맑은 고딕"/>
      <family val="2"/>
      <charset val="129"/>
    </font>
    <font>
      <sz val="10"/>
      <color indexed="8"/>
      <name val="Arial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6969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4" fillId="0" borderId="0" xfId="0" applyFont="1"/>
    <xf numFmtId="0" fontId="6" fillId="0" borderId="0" xfId="0" applyFont="1"/>
    <xf numFmtId="177" fontId="0" fillId="0" borderId="0" xfId="0" applyNumberFormat="1"/>
    <xf numFmtId="0" fontId="2" fillId="3" borderId="1" xfId="0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vertical="center"/>
    </xf>
    <xf numFmtId="0" fontId="0" fillId="3" borderId="0" xfId="0" applyFill="1"/>
    <xf numFmtId="0" fontId="2" fillId="4" borderId="1" xfId="0" applyFont="1" applyFill="1" applyBorder="1" applyAlignment="1">
      <alignment vertical="center"/>
    </xf>
    <xf numFmtId="176" fontId="2" fillId="4" borderId="1" xfId="0" applyNumberFormat="1" applyFont="1" applyFill="1" applyBorder="1" applyAlignment="1">
      <alignment vertical="center"/>
    </xf>
    <xf numFmtId="0" fontId="0" fillId="4" borderId="0" xfId="0" applyFill="1"/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9" fillId="5" borderId="0" xfId="0" applyFont="1" applyFill="1"/>
    <xf numFmtId="0" fontId="9" fillId="5" borderId="0" xfId="0" applyFont="1" applyFill="1" applyAlignment="1">
      <alignment horizontal="center"/>
    </xf>
    <xf numFmtId="14" fontId="6" fillId="0" borderId="0" xfId="0" applyNumberFormat="1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1" xfId="0" applyFont="1" applyBorder="1"/>
    <xf numFmtId="14" fontId="0" fillId="0" borderId="1" xfId="0" applyNumberFormat="1" applyBorder="1"/>
    <xf numFmtId="14" fontId="6" fillId="0" borderId="1" xfId="0" applyNumberFormat="1" applyFont="1" applyBorder="1"/>
    <xf numFmtId="14" fontId="13" fillId="0" borderId="1" xfId="0" applyNumberFormat="1" applyFont="1" applyBorder="1"/>
    <xf numFmtId="0" fontId="6" fillId="0" borderId="1" xfId="0" applyFont="1" applyBorder="1"/>
    <xf numFmtId="0" fontId="12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8CDE-E0C0-4AF7-92EC-1D1B9411CA99}">
  <dimension ref="A1:L47"/>
  <sheetViews>
    <sheetView tabSelected="1" workbookViewId="0">
      <selection activeCell="L29" sqref="L29"/>
    </sheetView>
  </sheetViews>
  <sheetFormatPr defaultColWidth="9.140625" defaultRowHeight="12.75" x14ac:dyDescent="0.2"/>
  <cols>
    <col min="1" max="1" width="13.42578125" customWidth="1"/>
    <col min="2" max="2" width="26.140625" customWidth="1"/>
    <col min="3" max="3" width="43.85546875" customWidth="1"/>
    <col min="4" max="4" width="7.5703125" customWidth="1"/>
    <col min="5" max="5" width="9.140625" hidden="1" customWidth="1"/>
    <col min="7" max="7" width="16.5703125" bestFit="1" customWidth="1"/>
    <col min="8" max="8" width="20.85546875" customWidth="1"/>
    <col min="9" max="9" width="48.28515625" customWidth="1"/>
    <col min="10" max="10" width="12.42578125" customWidth="1"/>
  </cols>
  <sheetData>
    <row r="1" spans="1:12" ht="13.5" x14ac:dyDescent="0.25">
      <c r="A1" s="4" t="s">
        <v>83</v>
      </c>
      <c r="B1" s="4" t="s">
        <v>70</v>
      </c>
      <c r="C1" s="4" t="s">
        <v>71</v>
      </c>
    </row>
    <row r="2" spans="1:12" ht="13.5" x14ac:dyDescent="0.25">
      <c r="A2" s="26" t="s">
        <v>78</v>
      </c>
      <c r="B2" s="27">
        <v>46276</v>
      </c>
      <c r="G2" s="26" t="s">
        <v>78</v>
      </c>
      <c r="H2" s="27">
        <v>46276</v>
      </c>
    </row>
    <row r="3" spans="1:12" ht="13.5" x14ac:dyDescent="0.25">
      <c r="A3" s="26" t="s">
        <v>74</v>
      </c>
      <c r="B3" s="28" t="s">
        <v>92</v>
      </c>
      <c r="G3" s="26" t="s">
        <v>74</v>
      </c>
      <c r="H3" s="28" t="s">
        <v>91</v>
      </c>
    </row>
    <row r="4" spans="1:12" ht="13.5" x14ac:dyDescent="0.25">
      <c r="A4" s="26" t="s">
        <v>79</v>
      </c>
      <c r="B4" s="29" t="s">
        <v>93</v>
      </c>
      <c r="G4" s="26" t="s">
        <v>79</v>
      </c>
      <c r="H4" s="29" t="s">
        <v>90</v>
      </c>
    </row>
    <row r="5" spans="1:12" ht="13.5" x14ac:dyDescent="0.25">
      <c r="A5" s="26" t="s">
        <v>80</v>
      </c>
      <c r="B5" s="30" t="s">
        <v>88</v>
      </c>
      <c r="G5" s="26" t="s">
        <v>80</v>
      </c>
      <c r="H5" s="30" t="s">
        <v>88</v>
      </c>
    </row>
    <row r="6" spans="1:12" ht="13.5" x14ac:dyDescent="0.25">
      <c r="A6" s="26" t="s">
        <v>81</v>
      </c>
      <c r="B6" s="31" t="s">
        <v>89</v>
      </c>
      <c r="G6" s="26" t="s">
        <v>81</v>
      </c>
      <c r="H6" s="31" t="s">
        <v>89</v>
      </c>
    </row>
    <row r="7" spans="1:12" ht="13.5" x14ac:dyDescent="0.25">
      <c r="A7" s="26" t="s">
        <v>82</v>
      </c>
      <c r="B7" s="31" t="s">
        <v>94</v>
      </c>
      <c r="G7" s="26" t="s">
        <v>82</v>
      </c>
      <c r="H7" s="26" t="s">
        <v>86</v>
      </c>
    </row>
    <row r="8" spans="1:12" ht="13.5" x14ac:dyDescent="0.25">
      <c r="A8" s="26" t="s">
        <v>76</v>
      </c>
      <c r="B8" s="31" t="s">
        <v>87</v>
      </c>
      <c r="G8" s="26" t="s">
        <v>76</v>
      </c>
      <c r="H8" s="31" t="s">
        <v>87</v>
      </c>
    </row>
    <row r="9" spans="1:12" ht="13.5" x14ac:dyDescent="0.25">
      <c r="A9" s="13" t="s">
        <v>54</v>
      </c>
      <c r="B9" s="14"/>
      <c r="C9" s="14"/>
      <c r="D9" s="14"/>
      <c r="G9" s="15" t="s">
        <v>64</v>
      </c>
      <c r="H9" s="14"/>
      <c r="I9" s="14"/>
      <c r="J9" s="14"/>
    </row>
    <row r="10" spans="1:12" ht="13.5" x14ac:dyDescent="0.25">
      <c r="A10" s="16" t="s">
        <v>72</v>
      </c>
      <c r="B10" s="16"/>
      <c r="C10" s="16"/>
      <c r="D10" s="16"/>
      <c r="G10" s="16" t="s">
        <v>73</v>
      </c>
      <c r="H10" s="16"/>
      <c r="I10" s="16"/>
      <c r="J10" s="16"/>
    </row>
    <row r="11" spans="1:12" x14ac:dyDescent="0.2">
      <c r="A11" s="1" t="s">
        <v>0</v>
      </c>
      <c r="B11" s="1" t="s">
        <v>1</v>
      </c>
      <c r="C11" s="1" t="s">
        <v>2</v>
      </c>
      <c r="D11" s="1" t="s">
        <v>3</v>
      </c>
      <c r="G11" s="1" t="s">
        <v>0</v>
      </c>
      <c r="H11" s="1" t="s">
        <v>1</v>
      </c>
      <c r="I11" s="1" t="s">
        <v>2</v>
      </c>
      <c r="J11" s="1" t="s">
        <v>3</v>
      </c>
    </row>
    <row r="12" spans="1:12" x14ac:dyDescent="0.2">
      <c r="A12" s="7" t="s">
        <v>42</v>
      </c>
      <c r="B12" s="7" t="s">
        <v>43</v>
      </c>
      <c r="C12" s="7" t="s">
        <v>44</v>
      </c>
      <c r="D12" s="8">
        <v>4</v>
      </c>
      <c r="E12" s="9" t="e">
        <f>VLOOKUP(A12,$G$12:$J$27,4,0)</f>
        <v>#N/A</v>
      </c>
      <c r="F12" s="6"/>
      <c r="G12" s="10" t="s">
        <v>55</v>
      </c>
      <c r="H12" s="10" t="s">
        <v>56</v>
      </c>
      <c r="I12" s="10" t="s">
        <v>57</v>
      </c>
      <c r="J12" s="11">
        <v>4</v>
      </c>
      <c r="K12" s="12" t="e">
        <f>VLOOKUP(G12,$A$12:$D$28,4,0)</f>
        <v>#N/A</v>
      </c>
      <c r="L12" s="6"/>
    </row>
    <row r="13" spans="1:12" x14ac:dyDescent="0.2">
      <c r="A13" s="7" t="s">
        <v>51</v>
      </c>
      <c r="B13" s="7" t="s">
        <v>52</v>
      </c>
      <c r="C13" s="7" t="s">
        <v>53</v>
      </c>
      <c r="D13" s="8">
        <v>4</v>
      </c>
      <c r="E13" s="9" t="e">
        <f t="shared" ref="E13:E28" si="0">VLOOKUP(A13,$G$12:$J$27,4,0)</f>
        <v>#N/A</v>
      </c>
      <c r="F13" s="6"/>
      <c r="G13" s="10" t="s">
        <v>61</v>
      </c>
      <c r="H13" s="10" t="s">
        <v>62</v>
      </c>
      <c r="I13" s="10" t="s">
        <v>63</v>
      </c>
      <c r="J13" s="11">
        <v>4</v>
      </c>
      <c r="K13" s="12" t="e">
        <f t="shared" ref="K13:K27" si="1">VLOOKUP(G13,$A$12:$D$28,4,0)</f>
        <v>#N/A</v>
      </c>
      <c r="L13" s="6"/>
    </row>
    <row r="14" spans="1:12" x14ac:dyDescent="0.2">
      <c r="A14" s="7" t="s">
        <v>30</v>
      </c>
      <c r="B14" s="7" t="s">
        <v>31</v>
      </c>
      <c r="C14" s="7" t="s">
        <v>32</v>
      </c>
      <c r="D14" s="8">
        <v>4</v>
      </c>
      <c r="E14" s="9" t="e">
        <f t="shared" si="0"/>
        <v>#N/A</v>
      </c>
      <c r="F14" s="6"/>
      <c r="G14" s="10" t="s">
        <v>58</v>
      </c>
      <c r="H14" s="10" t="s">
        <v>59</v>
      </c>
      <c r="I14" s="10" t="s">
        <v>60</v>
      </c>
      <c r="J14" s="11">
        <v>4</v>
      </c>
      <c r="K14" s="12" t="e">
        <f t="shared" si="1"/>
        <v>#N/A</v>
      </c>
      <c r="L14" s="6"/>
    </row>
    <row r="15" spans="1:12" x14ac:dyDescent="0.2">
      <c r="A15" s="7" t="s">
        <v>4</v>
      </c>
      <c r="B15" s="7" t="s">
        <v>5</v>
      </c>
      <c r="C15" s="7" t="s">
        <v>6</v>
      </c>
      <c r="D15" s="8">
        <v>4</v>
      </c>
      <c r="E15" s="9" t="e">
        <f t="shared" si="0"/>
        <v>#N/A</v>
      </c>
      <c r="F15" s="6"/>
      <c r="G15" s="2" t="s">
        <v>48</v>
      </c>
      <c r="H15" s="2" t="s">
        <v>49</v>
      </c>
      <c r="I15" s="2" t="s">
        <v>50</v>
      </c>
      <c r="J15" s="3">
        <v>4</v>
      </c>
      <c r="K15">
        <f t="shared" si="1"/>
        <v>4</v>
      </c>
      <c r="L15" s="6"/>
    </row>
    <row r="16" spans="1:12" x14ac:dyDescent="0.2">
      <c r="A16" s="2" t="s">
        <v>7</v>
      </c>
      <c r="B16" s="2" t="s">
        <v>8</v>
      </c>
      <c r="C16" s="2" t="s">
        <v>8</v>
      </c>
      <c r="D16" s="3">
        <v>4</v>
      </c>
      <c r="E16">
        <f t="shared" si="0"/>
        <v>4</v>
      </c>
      <c r="F16" s="6"/>
      <c r="G16" s="2" t="s">
        <v>12</v>
      </c>
      <c r="H16" s="2" t="s">
        <v>13</v>
      </c>
      <c r="I16" s="2" t="s">
        <v>14</v>
      </c>
      <c r="J16" s="3">
        <v>4</v>
      </c>
      <c r="K16">
        <f t="shared" si="1"/>
        <v>4</v>
      </c>
      <c r="L16" s="6"/>
    </row>
    <row r="17" spans="1:12" x14ac:dyDescent="0.2">
      <c r="A17" s="2" t="s">
        <v>9</v>
      </c>
      <c r="B17" s="2" t="s">
        <v>10</v>
      </c>
      <c r="C17" s="2" t="s">
        <v>11</v>
      </c>
      <c r="D17" s="3">
        <v>4</v>
      </c>
      <c r="E17">
        <f t="shared" si="0"/>
        <v>4</v>
      </c>
      <c r="F17" s="6"/>
      <c r="G17" s="2" t="s">
        <v>7</v>
      </c>
      <c r="H17" s="2" t="s">
        <v>8</v>
      </c>
      <c r="I17" s="2" t="s">
        <v>8</v>
      </c>
      <c r="J17" s="3">
        <v>4</v>
      </c>
      <c r="K17">
        <f t="shared" si="1"/>
        <v>4</v>
      </c>
      <c r="L17" s="6"/>
    </row>
    <row r="18" spans="1:12" x14ac:dyDescent="0.2">
      <c r="A18" s="2" t="s">
        <v>12</v>
      </c>
      <c r="B18" s="2" t="s">
        <v>13</v>
      </c>
      <c r="C18" s="2" t="s">
        <v>14</v>
      </c>
      <c r="D18" s="3">
        <v>4</v>
      </c>
      <c r="E18">
        <f t="shared" si="0"/>
        <v>4</v>
      </c>
      <c r="F18" s="6"/>
      <c r="G18" s="2" t="s">
        <v>45</v>
      </c>
      <c r="H18" s="2" t="s">
        <v>46</v>
      </c>
      <c r="I18" s="2" t="s">
        <v>47</v>
      </c>
      <c r="J18" s="3">
        <v>4</v>
      </c>
      <c r="K18">
        <f t="shared" si="1"/>
        <v>4</v>
      </c>
      <c r="L18" s="6"/>
    </row>
    <row r="19" spans="1:12" x14ac:dyDescent="0.2">
      <c r="A19" s="2" t="s">
        <v>15</v>
      </c>
      <c r="B19" s="2" t="s">
        <v>16</v>
      </c>
      <c r="C19" s="2" t="s">
        <v>17</v>
      </c>
      <c r="D19" s="3">
        <v>8</v>
      </c>
      <c r="E19">
        <f t="shared" si="0"/>
        <v>8</v>
      </c>
      <c r="F19" s="6"/>
      <c r="G19" s="2" t="s">
        <v>18</v>
      </c>
      <c r="H19" s="2" t="s">
        <v>19</v>
      </c>
      <c r="I19" s="2" t="s">
        <v>20</v>
      </c>
      <c r="J19" s="3">
        <v>4</v>
      </c>
      <c r="K19">
        <f t="shared" si="1"/>
        <v>4</v>
      </c>
      <c r="L19" s="6"/>
    </row>
    <row r="20" spans="1:12" x14ac:dyDescent="0.2">
      <c r="A20" s="2" t="s">
        <v>18</v>
      </c>
      <c r="B20" s="2" t="s">
        <v>19</v>
      </c>
      <c r="C20" s="2" t="s">
        <v>20</v>
      </c>
      <c r="D20" s="3">
        <v>4</v>
      </c>
      <c r="E20">
        <f t="shared" si="0"/>
        <v>4</v>
      </c>
      <c r="F20" s="6"/>
      <c r="G20" s="2" t="s">
        <v>36</v>
      </c>
      <c r="H20" s="2" t="s">
        <v>37</v>
      </c>
      <c r="I20" s="2" t="s">
        <v>38</v>
      </c>
      <c r="J20" s="3">
        <v>4</v>
      </c>
      <c r="K20">
        <f t="shared" si="1"/>
        <v>4</v>
      </c>
      <c r="L20" s="6"/>
    </row>
    <row r="21" spans="1:12" x14ac:dyDescent="0.2">
      <c r="A21" s="2" t="s">
        <v>21</v>
      </c>
      <c r="B21" s="2" t="s">
        <v>22</v>
      </c>
      <c r="C21" s="2" t="s">
        <v>23</v>
      </c>
      <c r="D21" s="3">
        <v>4</v>
      </c>
      <c r="E21">
        <f t="shared" si="0"/>
        <v>4</v>
      </c>
      <c r="F21" s="6"/>
      <c r="G21" s="2" t="s">
        <v>39</v>
      </c>
      <c r="H21" s="2" t="s">
        <v>40</v>
      </c>
      <c r="I21" s="2" t="s">
        <v>41</v>
      </c>
      <c r="J21" s="3">
        <v>4</v>
      </c>
      <c r="K21">
        <f t="shared" si="1"/>
        <v>4</v>
      </c>
      <c r="L21" s="6"/>
    </row>
    <row r="22" spans="1:12" x14ac:dyDescent="0.2">
      <c r="A22" s="2" t="s">
        <v>24</v>
      </c>
      <c r="B22" s="2" t="s">
        <v>25</v>
      </c>
      <c r="C22" s="2" t="s">
        <v>26</v>
      </c>
      <c r="D22" s="3">
        <v>4</v>
      </c>
      <c r="E22">
        <f t="shared" si="0"/>
        <v>4</v>
      </c>
      <c r="F22" s="6"/>
      <c r="G22" s="2" t="s">
        <v>15</v>
      </c>
      <c r="H22" s="2" t="s">
        <v>16</v>
      </c>
      <c r="I22" s="2" t="s">
        <v>17</v>
      </c>
      <c r="J22" s="3">
        <v>8</v>
      </c>
      <c r="K22">
        <f t="shared" si="1"/>
        <v>8</v>
      </c>
      <c r="L22" s="6"/>
    </row>
    <row r="23" spans="1:12" x14ac:dyDescent="0.2">
      <c r="A23" s="2" t="s">
        <v>27</v>
      </c>
      <c r="B23" s="2" t="s">
        <v>28</v>
      </c>
      <c r="C23" s="2" t="s">
        <v>29</v>
      </c>
      <c r="D23" s="3">
        <v>4</v>
      </c>
      <c r="E23">
        <f t="shared" si="0"/>
        <v>4</v>
      </c>
      <c r="F23" s="6"/>
      <c r="G23" s="2" t="s">
        <v>33</v>
      </c>
      <c r="H23" s="2" t="s">
        <v>34</v>
      </c>
      <c r="I23" s="2" t="s">
        <v>35</v>
      </c>
      <c r="J23" s="3">
        <v>4</v>
      </c>
      <c r="K23">
        <f t="shared" si="1"/>
        <v>4</v>
      </c>
      <c r="L23" s="6"/>
    </row>
    <row r="24" spans="1:12" x14ac:dyDescent="0.2">
      <c r="A24" s="2" t="s">
        <v>33</v>
      </c>
      <c r="B24" s="2" t="s">
        <v>34</v>
      </c>
      <c r="C24" s="2" t="s">
        <v>35</v>
      </c>
      <c r="D24" s="3">
        <v>4</v>
      </c>
      <c r="E24">
        <f t="shared" si="0"/>
        <v>4</v>
      </c>
      <c r="F24" s="6"/>
      <c r="G24" s="2" t="s">
        <v>24</v>
      </c>
      <c r="H24" s="2" t="s">
        <v>25</v>
      </c>
      <c r="I24" s="2" t="s">
        <v>26</v>
      </c>
      <c r="J24" s="3">
        <v>4</v>
      </c>
      <c r="K24">
        <f t="shared" si="1"/>
        <v>4</v>
      </c>
      <c r="L24" s="6"/>
    </row>
    <row r="25" spans="1:12" x14ac:dyDescent="0.2">
      <c r="A25" s="2" t="s">
        <v>36</v>
      </c>
      <c r="B25" s="2" t="s">
        <v>37</v>
      </c>
      <c r="C25" s="2" t="s">
        <v>38</v>
      </c>
      <c r="D25" s="3">
        <v>4</v>
      </c>
      <c r="E25">
        <f t="shared" si="0"/>
        <v>4</v>
      </c>
      <c r="F25" s="6"/>
      <c r="G25" s="2" t="s">
        <v>27</v>
      </c>
      <c r="H25" s="2" t="s">
        <v>28</v>
      </c>
      <c r="I25" s="2" t="s">
        <v>29</v>
      </c>
      <c r="J25" s="3">
        <v>4</v>
      </c>
      <c r="K25">
        <f t="shared" si="1"/>
        <v>4</v>
      </c>
      <c r="L25" s="6"/>
    </row>
    <row r="26" spans="1:12" x14ac:dyDescent="0.2">
      <c r="A26" s="2" t="s">
        <v>39</v>
      </c>
      <c r="B26" s="2" t="s">
        <v>40</v>
      </c>
      <c r="C26" s="2" t="s">
        <v>41</v>
      </c>
      <c r="D26" s="3">
        <v>4</v>
      </c>
      <c r="E26">
        <f t="shared" si="0"/>
        <v>4</v>
      </c>
      <c r="F26" s="6"/>
      <c r="G26" s="2" t="s">
        <v>21</v>
      </c>
      <c r="H26" s="2" t="s">
        <v>22</v>
      </c>
      <c r="I26" s="2" t="s">
        <v>23</v>
      </c>
      <c r="J26" s="3">
        <v>4</v>
      </c>
      <c r="K26">
        <f t="shared" si="1"/>
        <v>4</v>
      </c>
      <c r="L26" s="6"/>
    </row>
    <row r="27" spans="1:12" x14ac:dyDescent="0.2">
      <c r="A27" s="2" t="s">
        <v>45</v>
      </c>
      <c r="B27" s="2" t="s">
        <v>46</v>
      </c>
      <c r="C27" s="2" t="s">
        <v>47</v>
      </c>
      <c r="D27" s="3">
        <v>4</v>
      </c>
      <c r="E27">
        <f t="shared" si="0"/>
        <v>4</v>
      </c>
      <c r="F27" s="6"/>
      <c r="G27" s="2" t="s">
        <v>9</v>
      </c>
      <c r="H27" s="2" t="s">
        <v>10</v>
      </c>
      <c r="I27" s="2" t="s">
        <v>11</v>
      </c>
      <c r="J27" s="3">
        <v>4</v>
      </c>
      <c r="K27">
        <f t="shared" si="1"/>
        <v>4</v>
      </c>
      <c r="L27" s="6"/>
    </row>
    <row r="28" spans="1:12" x14ac:dyDescent="0.2">
      <c r="A28" s="2" t="s">
        <v>48</v>
      </c>
      <c r="B28" s="2" t="s">
        <v>49</v>
      </c>
      <c r="C28" s="2" t="s">
        <v>50</v>
      </c>
      <c r="D28" s="3">
        <v>4</v>
      </c>
      <c r="E28">
        <f t="shared" si="0"/>
        <v>4</v>
      </c>
      <c r="F28" s="6"/>
      <c r="L28" s="6"/>
    </row>
    <row r="31" spans="1:12" ht="16.5" x14ac:dyDescent="0.3">
      <c r="A31" s="24" t="s">
        <v>84</v>
      </c>
      <c r="B31" s="25"/>
      <c r="C31" s="25"/>
      <c r="D31" s="25"/>
      <c r="E31" s="25"/>
      <c r="F31" s="25"/>
      <c r="G31" s="25"/>
      <c r="H31" s="25"/>
      <c r="I31" s="25"/>
      <c r="J31" s="25"/>
    </row>
    <row r="32" spans="1:12" ht="14.25" x14ac:dyDescent="0.25">
      <c r="F32" s="5" t="s">
        <v>85</v>
      </c>
    </row>
    <row r="33" spans="1:10" ht="14.25" x14ac:dyDescent="0.25">
      <c r="A33" s="4" t="s">
        <v>65</v>
      </c>
      <c r="B33" s="23" t="str">
        <f>B3</f>
        <v xml:space="preserve"> A3TC-5NBDN-AH005</v>
      </c>
      <c r="C33" s="5" t="s">
        <v>77</v>
      </c>
      <c r="H33" t="str">
        <f>B3&amp;F32&amp;H3&amp;G32&amp;H7&amp;H8&amp;H5&amp;H2</f>
        <v xml:space="preserve"> A3TC-5NBDN-AH005 ▶ A4TC-4NBDN-AH000 강남구청 재작업건 4대46276</v>
      </c>
    </row>
    <row r="34" spans="1:10" ht="14.25" x14ac:dyDescent="0.25">
      <c r="A34" s="4" t="s">
        <v>66</v>
      </c>
      <c r="B34" s="23" t="str">
        <f>H3</f>
        <v xml:space="preserve"> A4TC-4NBDN-AH000</v>
      </c>
      <c r="C34" s="5" t="s">
        <v>67</v>
      </c>
    </row>
    <row r="36" spans="1:10" ht="13.5" x14ac:dyDescent="0.25">
      <c r="A36" s="17" t="s">
        <v>65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0" ht="13.5" x14ac:dyDescent="0.25">
      <c r="A37" s="1" t="s">
        <v>0</v>
      </c>
      <c r="B37" s="1" t="s">
        <v>1</v>
      </c>
      <c r="C37" s="1" t="s">
        <v>2</v>
      </c>
      <c r="D37" s="19" t="s">
        <v>3</v>
      </c>
      <c r="F37" s="22" t="s">
        <v>76</v>
      </c>
      <c r="G37" s="20"/>
      <c r="H37" s="20"/>
      <c r="I37" s="20"/>
      <c r="J37" s="21" t="s">
        <v>75</v>
      </c>
    </row>
    <row r="38" spans="1:10" ht="14.25" x14ac:dyDescent="0.25">
      <c r="A38" s="10" t="str">
        <f>G12</f>
        <v>CP10-002DA</v>
      </c>
      <c r="B38" s="10" t="str">
        <f t="shared" ref="B38:D38" si="2">H12</f>
        <v>CPU_i5-14400</v>
      </c>
      <c r="C38" s="10" t="str">
        <f t="shared" si="2"/>
        <v>intel, i5-14400, 14th, 2.5/4.7 GHz, 20 MB</v>
      </c>
      <c r="D38" s="10">
        <f t="shared" si="2"/>
        <v>4</v>
      </c>
      <c r="F38" s="18" t="str">
        <f>C33</f>
        <v>A3TC-5NBDN-AH005 ▶ A4TC-4NBDN-AH000 강남구청 재작업건 4대 09/11</v>
      </c>
      <c r="G38" s="18"/>
      <c r="H38" s="18"/>
      <c r="I38" s="18"/>
      <c r="J38" s="4" t="s">
        <v>68</v>
      </c>
    </row>
    <row r="39" spans="1:10" ht="14.25" x14ac:dyDescent="0.25">
      <c r="A39" s="10" t="str">
        <f>G13</f>
        <v>SENM-0016A</v>
      </c>
      <c r="B39" s="10" t="str">
        <f t="shared" ref="B39:D39" si="3">H13</f>
        <v>STORAGE, SSD_M.2_PM9E1_512GB_Samsung</v>
      </c>
      <c r="C39" s="10" t="str">
        <f t="shared" si="3"/>
        <v>PM9E1,TLC, 512GB, Samsung, 컨트롤러: Samsung Presto, 인터페이스: PCIe 5.0 x4 (NVMe 1.3), 폼팩터: M.2 22X80mm</v>
      </c>
      <c r="D39" s="10">
        <f t="shared" si="3"/>
        <v>4</v>
      </c>
      <c r="F39" s="18" t="str">
        <f>C33</f>
        <v>A3TC-5NBDN-AH005 ▶ A4TC-4NBDN-AH000 강남구청 재작업건 4대 09/11</v>
      </c>
      <c r="G39" s="18"/>
      <c r="H39" s="18"/>
      <c r="I39" s="18"/>
      <c r="J39" s="4" t="s">
        <v>68</v>
      </c>
    </row>
    <row r="40" spans="1:10" ht="14.25" x14ac:dyDescent="0.25">
      <c r="A40" s="10" t="str">
        <f>G14</f>
        <v>PWT0-000CA</v>
      </c>
      <c r="B40" s="10" t="str">
        <f t="shared" ref="B40:D40" si="4">H14</f>
        <v>SMPS, ATX_FSP_500W</v>
      </c>
      <c r="C40" s="10" t="str">
        <f t="shared" si="4"/>
        <v>500W,FSP,FSP-500-51AAC,200-240V,50-60Hz. Tower PC 적용(ATX)</v>
      </c>
      <c r="D40" s="10">
        <f t="shared" si="4"/>
        <v>4</v>
      </c>
      <c r="F40" s="18" t="str">
        <f>C34</f>
        <v>A3TC-5NBDN-AH005 ▶ A4TC-4NBDN-AH000 강남구청 재작업건 4대 09/11</v>
      </c>
      <c r="G40" s="18"/>
      <c r="H40" s="18"/>
      <c r="I40" s="18"/>
      <c r="J40" s="4" t="s">
        <v>68</v>
      </c>
    </row>
    <row r="42" spans="1:10" ht="13.5" x14ac:dyDescent="0.25">
      <c r="A42" s="17" t="s">
        <v>66</v>
      </c>
      <c r="B42" s="17"/>
      <c r="C42" s="17"/>
      <c r="D42" s="17"/>
      <c r="E42" s="17"/>
      <c r="F42" s="17"/>
      <c r="G42" s="17"/>
      <c r="H42" s="17"/>
      <c r="I42" s="17"/>
      <c r="J42" s="17"/>
    </row>
    <row r="43" spans="1:10" ht="13.5" x14ac:dyDescent="0.25">
      <c r="A43" s="1" t="s">
        <v>0</v>
      </c>
      <c r="B43" s="1" t="s">
        <v>1</v>
      </c>
      <c r="C43" s="1" t="s">
        <v>2</v>
      </c>
      <c r="D43" s="1" t="s">
        <v>3</v>
      </c>
      <c r="F43" s="22" t="s">
        <v>76</v>
      </c>
      <c r="G43" s="20"/>
      <c r="H43" s="20"/>
      <c r="I43" s="20"/>
      <c r="J43" s="21" t="s">
        <v>75</v>
      </c>
    </row>
    <row r="44" spans="1:10" ht="14.25" x14ac:dyDescent="0.25">
      <c r="A44" s="7" t="str">
        <f>A12</f>
        <v>CP10-0021A</v>
      </c>
      <c r="B44" s="7" t="str">
        <f t="shared" ref="B44:D44" si="5">B12</f>
        <v>CPU_i5-13500</v>
      </c>
      <c r="C44" s="7" t="str">
        <f t="shared" si="5"/>
        <v>intel®, i5-13500, 13th, 2.50GHz, 24MB</v>
      </c>
      <c r="D44" s="7">
        <f t="shared" si="5"/>
        <v>4</v>
      </c>
      <c r="F44" s="18" t="str">
        <f>C33</f>
        <v>A3TC-5NBDN-AH005 ▶ A4TC-4NBDN-AH000 강남구청 재작업건 4대 09/11</v>
      </c>
      <c r="G44" s="18"/>
      <c r="H44" s="18"/>
      <c r="I44" s="18"/>
      <c r="J44" s="4" t="s">
        <v>69</v>
      </c>
    </row>
    <row r="45" spans="1:10" ht="14.25" x14ac:dyDescent="0.25">
      <c r="A45" s="7" t="str">
        <f>A13</f>
        <v>SENM-0014A</v>
      </c>
      <c r="B45" s="7" t="str">
        <f t="shared" ref="B45:D45" si="6">B13</f>
        <v>STORAGE, SSD_M.2_PM9A1_512GB_Samsung</v>
      </c>
      <c r="C45" s="7" t="str">
        <f t="shared" si="6"/>
        <v>PM9A1,TLC, 512GB, Samsung, 컨트롤러: Samsung Elpis, 인터페이스: PCIe 4.0 x4 (NVMe 1.3), 폼팩터: M.2 22X80mm</v>
      </c>
      <c r="D45" s="7">
        <f t="shared" si="6"/>
        <v>4</v>
      </c>
      <c r="F45" s="18" t="str">
        <f>C33</f>
        <v>A3TC-5NBDN-AH005 ▶ A4TC-4NBDN-AH000 강남구청 재작업건 4대 09/11</v>
      </c>
      <c r="G45" s="18"/>
      <c r="H45" s="18"/>
      <c r="I45" s="18"/>
      <c r="J45" s="4" t="s">
        <v>69</v>
      </c>
    </row>
    <row r="46" spans="1:10" ht="14.25" x14ac:dyDescent="0.25">
      <c r="A46" s="7" t="str">
        <f>A14</f>
        <v>ODO0-0005A</v>
      </c>
      <c r="B46" s="7" t="str">
        <f t="shared" ref="B46:D46" si="7">B14</f>
        <v>ODD DVD-ROM STD DH70N</v>
      </c>
      <c r="C46" s="7" t="str">
        <f t="shared" si="7"/>
        <v>HLDS, GH70N, Tower, ROM F/W 적용</v>
      </c>
      <c r="D46" s="7">
        <f t="shared" si="7"/>
        <v>4</v>
      </c>
      <c r="F46" s="18" t="str">
        <f>C33</f>
        <v>A3TC-5NBDN-AH005 ▶ A4TC-4NBDN-AH000 강남구청 재작업건 4대 09/11</v>
      </c>
      <c r="G46" s="18"/>
      <c r="H46" s="18"/>
      <c r="I46" s="18"/>
      <c r="J46" s="4" t="s">
        <v>69</v>
      </c>
    </row>
    <row r="47" spans="1:10" ht="14.25" x14ac:dyDescent="0.25">
      <c r="A47" s="7" t="str">
        <f>A15</f>
        <v>PWT0-0009B</v>
      </c>
      <c r="B47" s="7" t="str">
        <f t="shared" ref="B47:D47" si="8">B15</f>
        <v>POWER ATX</v>
      </c>
      <c r="C47" s="7" t="str">
        <f t="shared" si="8"/>
        <v>500W, ZALMAN, ZM500-ET Plus, 220V, 라벨사양변경</v>
      </c>
      <c r="D47" s="7">
        <f t="shared" si="8"/>
        <v>4</v>
      </c>
      <c r="F47" s="18" t="str">
        <f>C33</f>
        <v>A3TC-5NBDN-AH005 ▶ A4TC-4NBDN-AH000 강남구청 재작업건 4대 09/11</v>
      </c>
      <c r="G47" s="18"/>
      <c r="H47" s="18"/>
      <c r="I47" s="18"/>
      <c r="J47" s="4" t="s">
        <v>69</v>
      </c>
    </row>
  </sheetData>
  <mergeCells count="16">
    <mergeCell ref="A31:J31"/>
    <mergeCell ref="F45:I45"/>
    <mergeCell ref="F44:I44"/>
    <mergeCell ref="F47:I47"/>
    <mergeCell ref="F46:I46"/>
    <mergeCell ref="F43:I43"/>
    <mergeCell ref="A36:J36"/>
    <mergeCell ref="A42:J42"/>
    <mergeCell ref="F38:I38"/>
    <mergeCell ref="F40:I40"/>
    <mergeCell ref="F39:I39"/>
    <mergeCell ref="F37:I37"/>
    <mergeCell ref="A9:D9"/>
    <mergeCell ref="G9:J9"/>
    <mergeCell ref="A10:D10"/>
    <mergeCell ref="G10:J1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생산관리 - 이학준</dc:creator>
  <cp:lastModifiedBy>진현석</cp:lastModifiedBy>
  <dcterms:created xsi:type="dcterms:W3CDTF">2026-09-08T03:09:17Z</dcterms:created>
  <dcterms:modified xsi:type="dcterms:W3CDTF">2026-09-09T06:07:43Z</dcterms:modified>
</cp:coreProperties>
</file>